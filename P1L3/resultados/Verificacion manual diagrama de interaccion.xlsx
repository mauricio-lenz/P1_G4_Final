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c74b610d5ad1b9/Desktop/"/>
    </mc:Choice>
  </mc:AlternateContent>
  <xr:revisionPtr revIDLastSave="0" documentId="8_{0D3C8951-16B0-4072-ABFA-A1A0AF237C54}" xr6:coauthVersionLast="47" xr6:coauthVersionMax="47" xr10:uidLastSave="{00000000-0000-0000-0000-000000000000}"/>
  <bookViews>
    <workbookView xWindow="-108" yWindow="-108" windowWidth="23256" windowHeight="12456" xr2:uid="{7EC60F88-CF1A-41BD-BE5E-EB94AC8CE9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0" i="1" l="1"/>
  <c r="B79" i="1"/>
  <c r="B77" i="1"/>
  <c r="B76" i="1"/>
  <c r="B75" i="1"/>
  <c r="B74" i="1"/>
  <c r="B72" i="1"/>
  <c r="B57" i="1"/>
  <c r="V40" i="1"/>
  <c r="W44" i="1"/>
  <c r="W40" i="1"/>
  <c r="V44" i="1"/>
  <c r="E105" i="1"/>
  <c r="E106" i="1"/>
  <c r="F106" i="1" s="1"/>
  <c r="G106" i="1" s="1"/>
  <c r="E104" i="1"/>
  <c r="F104" i="1" s="1"/>
  <c r="G104" i="1" s="1"/>
  <c r="B105" i="1"/>
  <c r="B93" i="1"/>
  <c r="E88" i="1"/>
  <c r="E89" i="1"/>
  <c r="E87" i="1"/>
  <c r="B88" i="1"/>
  <c r="B89" i="1" s="1"/>
  <c r="B71" i="1"/>
  <c r="E71" i="1"/>
  <c r="E72" i="1"/>
  <c r="E70" i="1"/>
  <c r="E54" i="1"/>
  <c r="E55" i="1"/>
  <c r="E53" i="1"/>
  <c r="B54" i="1"/>
  <c r="B55" i="1" s="1"/>
  <c r="F54" i="1" s="1"/>
  <c r="G54" i="1" s="1"/>
  <c r="C24" i="1"/>
  <c r="E24" i="1" s="1"/>
  <c r="C25" i="1"/>
  <c r="E25" i="1" s="1"/>
  <c r="L32" i="1" s="1"/>
  <c r="N32" i="1" s="1"/>
  <c r="C23" i="1"/>
  <c r="E23" i="1" s="1"/>
  <c r="L30" i="1" s="1"/>
  <c r="N30" i="1" s="1"/>
  <c r="B19" i="1"/>
  <c r="B17" i="1"/>
  <c r="B16" i="1"/>
  <c r="B12" i="1"/>
  <c r="B11" i="1"/>
  <c r="B10" i="1"/>
  <c r="B14" i="1" s="1"/>
  <c r="I119" i="1"/>
  <c r="F105" i="1"/>
  <c r="G105" i="1" s="1"/>
  <c r="B119" i="1"/>
  <c r="B110" i="1"/>
  <c r="B109" i="1"/>
  <c r="B92" i="1"/>
  <c r="B59" i="1"/>
  <c r="I30" i="1"/>
  <c r="F71" i="1" l="1"/>
  <c r="G71" i="1" s="1"/>
  <c r="H71" i="1" s="1"/>
  <c r="F72" i="1"/>
  <c r="G72" i="1" s="1"/>
  <c r="H72" i="1" s="1"/>
  <c r="F70" i="1"/>
  <c r="G70" i="1" s="1"/>
  <c r="H70" i="1" s="1"/>
  <c r="F87" i="1"/>
  <c r="G87" i="1" s="1"/>
  <c r="H87" i="1" s="1"/>
  <c r="F88" i="1"/>
  <c r="G88" i="1" s="1"/>
  <c r="H88" i="1" s="1"/>
  <c r="F89" i="1"/>
  <c r="G89" i="1" s="1"/>
  <c r="H89" i="1" s="1"/>
  <c r="F53" i="1"/>
  <c r="G53" i="1" s="1"/>
  <c r="H53" i="1" s="1"/>
  <c r="F55" i="1"/>
  <c r="G55" i="1" s="1"/>
  <c r="H55" i="1" s="1"/>
  <c r="H120" i="1"/>
  <c r="J120" i="1" s="1"/>
  <c r="L31" i="1"/>
  <c r="N31" i="1" s="1"/>
  <c r="H105" i="1"/>
  <c r="H119" i="1"/>
  <c r="J119" i="1" s="1"/>
  <c r="H121" i="1"/>
  <c r="J121" i="1" s="1"/>
  <c r="H106" i="1"/>
  <c r="C31" i="1"/>
  <c r="C33" i="1" s="1"/>
  <c r="B121" i="1"/>
  <c r="F30" i="1"/>
  <c r="B90" i="1"/>
  <c r="B91" i="1" s="1"/>
  <c r="B73" i="1"/>
  <c r="B56" i="1"/>
  <c r="H54" i="1"/>
  <c r="B107" i="1"/>
  <c r="B111" i="1" s="1"/>
  <c r="H104" i="1"/>
  <c r="B94" i="1" l="1"/>
  <c r="B97" i="1" s="1"/>
  <c r="W42" i="1" s="1"/>
  <c r="B123" i="1"/>
  <c r="B60" i="1"/>
  <c r="B108" i="1"/>
  <c r="B96" i="1"/>
  <c r="V42" i="1" s="1"/>
  <c r="B62" i="1" l="1"/>
  <c r="B63" i="1"/>
  <c r="E79" i="1"/>
  <c r="E97" i="1"/>
  <c r="E96" i="1"/>
  <c r="B114" i="1"/>
  <c r="M104" i="1"/>
  <c r="B113" i="1"/>
  <c r="V43" i="1" s="1"/>
  <c r="E80" i="1"/>
  <c r="E114" i="1" l="1"/>
  <c r="W43" i="1"/>
  <c r="W41" i="1"/>
  <c r="V41" i="1"/>
  <c r="E62" i="1"/>
  <c r="E63" i="1"/>
  <c r="E113" i="1"/>
</calcChain>
</file>

<file path=xl/sharedStrings.xml><?xml version="1.0" encoding="utf-8"?>
<sst xmlns="http://schemas.openxmlformats.org/spreadsheetml/2006/main" count="171" uniqueCount="79">
  <si>
    <t>Propiedades de la viga</t>
  </si>
  <si>
    <t>Diametro(mm) =</t>
  </si>
  <si>
    <t>f'c (Mpa) =</t>
  </si>
  <si>
    <t>fy (Mpa) =</t>
  </si>
  <si>
    <t>As1 (mm^2)=</t>
  </si>
  <si>
    <t>As2 (mm^2)=</t>
  </si>
  <si>
    <t>As3 (mm^2)=</t>
  </si>
  <si>
    <t>Ast (mm^2)=</t>
  </si>
  <si>
    <t>Ag (cm^2)=</t>
  </si>
  <si>
    <t>Ag (mm^2)=</t>
  </si>
  <si>
    <t>Fila</t>
  </si>
  <si>
    <t>Nº barras</t>
  </si>
  <si>
    <t>Asi (mm^2)</t>
  </si>
  <si>
    <t>Diam (mm)</t>
  </si>
  <si>
    <t>dt (mm)</t>
  </si>
  <si>
    <t>d1 (mm)</t>
  </si>
  <si>
    <t>d2 (mm)</t>
  </si>
  <si>
    <t>d3 (mm)</t>
  </si>
  <si>
    <t>φ</t>
  </si>
  <si>
    <t>P0=0,85*f'c*(Ag-Ast)+fy*Ast</t>
  </si>
  <si>
    <t>P0 (kN)</t>
  </si>
  <si>
    <t>Estribos</t>
  </si>
  <si>
    <t>Pn,max=0,8*P0</t>
  </si>
  <si>
    <t>Pn,max (kN)</t>
  </si>
  <si>
    <t>Resistencia  nominal (kN)</t>
  </si>
  <si>
    <t>Momento nominal (kN*m)</t>
  </si>
  <si>
    <t>φ*Pn(kN)</t>
  </si>
  <si>
    <t>φ*Mn (kN*m)</t>
  </si>
  <si>
    <t>εcu</t>
  </si>
  <si>
    <t>εst</t>
  </si>
  <si>
    <t>Formulas que vamos a utilizar</t>
  </si>
  <si>
    <t>a (mm)</t>
  </si>
  <si>
    <t>a=β1*C</t>
  </si>
  <si>
    <t>β1= 0,85-0,05*(f'c-28)/7</t>
  </si>
  <si>
    <t>β1</t>
  </si>
  <si>
    <t>C (mm)</t>
  </si>
  <si>
    <t>Cc (kN)</t>
  </si>
  <si>
    <t>Cc=0,85*f'c*b*a</t>
  </si>
  <si>
    <t>εsi</t>
  </si>
  <si>
    <t>fsi (Mpa)</t>
  </si>
  <si>
    <t>Fsi (kN)</t>
  </si>
  <si>
    <t>εsi=εcu*(1-di/C)</t>
  </si>
  <si>
    <t>fsi=sgn(εsi)*min(Es*|εsi|,fy)</t>
  </si>
  <si>
    <t>Fsi=fsi*Asi</t>
  </si>
  <si>
    <t>di (mm)</t>
  </si>
  <si>
    <t>Es (MPa)</t>
  </si>
  <si>
    <t>Pn</t>
  </si>
  <si>
    <t>Pn=Cc+Fs1+Fs2+Fs3+Fs4</t>
  </si>
  <si>
    <t>Mn = Cc*(h/2 - a/2)+Fs1*(h/2 -d1) + Fs2*(h/2 - d2)+ Fs3*(h/2 - d3) + Fs4*(h/2 - d4)</t>
  </si>
  <si>
    <t>Pn (kN)</t>
  </si>
  <si>
    <t>φ*Pn (kN)</t>
  </si>
  <si>
    <t>Mn (kN*m)</t>
  </si>
  <si>
    <t>C=(εcu*dt)/(εcu+εst)</t>
  </si>
  <si>
    <t>h (mm)</t>
  </si>
  <si>
    <t>b (mm)</t>
  </si>
  <si>
    <t>h/2 (mm)</t>
  </si>
  <si>
    <t>a/2 (mm)</t>
  </si>
  <si>
    <t>-</t>
  </si>
  <si>
    <t>fsi (MPa)</t>
  </si>
  <si>
    <t xml:space="preserve">  </t>
  </si>
  <si>
    <t>Pn(kN)</t>
  </si>
  <si>
    <t>Pn=0</t>
  </si>
  <si>
    <t>Iteracion 1</t>
  </si>
  <si>
    <t>C superior</t>
  </si>
  <si>
    <t>Pn con c inferior</t>
  </si>
  <si>
    <t>Primer punto compresion Pura:</t>
  </si>
  <si>
    <t>Cuarto punto transicion con acero mas traccionado con deformacion de 0,003:</t>
  </si>
  <si>
    <t>Quinto punto ultima falla ductil:</t>
  </si>
  <si>
    <t>Sexto punto flexion pura:</t>
  </si>
  <si>
    <t>Septimo punto traccion pura:</t>
  </si>
  <si>
    <t>Puntos</t>
  </si>
  <si>
    <t>Pn=Ast*fsi</t>
  </si>
  <si>
    <t xml:space="preserve"> </t>
  </si>
  <si>
    <t>Estado</t>
  </si>
  <si>
    <t>Compresión</t>
  </si>
  <si>
    <t>Primer punto compresión pura</t>
  </si>
  <si>
    <t>Tracción</t>
  </si>
  <si>
    <t>Compreción</t>
  </si>
  <si>
    <t>Segundo punto punto de balance: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</si>
</sst>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0" xfId="0" applyFill="1" applyBorder="1"/>
    <xf numFmtId="0" fontId="0" fillId="2" borderId="1" xfId="0" applyFill="1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82879627530914E-2"/>
          <c:y val="5.1032243099048948E-2"/>
          <c:w val="0.84462511647871297"/>
          <c:h val="0.82739485330513229"/>
        </c:manualLayout>
      </c:layout>
      <c:scatterChart>
        <c:scatterStyle val="lineMarker"/>
        <c:varyColors val="0"/>
        <c:ser>
          <c:idx val="8"/>
          <c:order val="8"/>
          <c:tx>
            <c:v>Nose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Hoja1!$W$40:$W$44</c:f>
              <c:numCache>
                <c:formatCode>General</c:formatCode>
                <c:ptCount val="5"/>
                <c:pt idx="0">
                  <c:v>0</c:v>
                </c:pt>
                <c:pt idx="1">
                  <c:v>1270.8131684920731</c:v>
                </c:pt>
                <c:pt idx="2">
                  <c:v>1130.503519168185</c:v>
                </c:pt>
                <c:pt idx="3">
                  <c:v>500.374310712436</c:v>
                </c:pt>
                <c:pt idx="4">
                  <c:v>0</c:v>
                </c:pt>
              </c:numCache>
            </c:numRef>
          </c:xVal>
          <c:yVal>
            <c:numRef>
              <c:f>Hoja1!$V$40:$V$44</c:f>
              <c:numCache>
                <c:formatCode>General</c:formatCode>
                <c:ptCount val="5"/>
                <c:pt idx="0">
                  <c:v>11978.387588273663</c:v>
                </c:pt>
                <c:pt idx="1">
                  <c:v>5020.9301744656696</c:v>
                </c:pt>
                <c:pt idx="2">
                  <c:v>2825.1492783123731</c:v>
                </c:pt>
                <c:pt idx="3">
                  <c:v>-3.4129455343645532E-5</c:v>
                </c:pt>
                <c:pt idx="4">
                  <c:v>-1649.3361431346414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F6-4F63-AD19-CAF70279F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236063"/>
        <c:axId val="5682389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Mn,Pn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Hoja1!$Q$40:$Q$46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Hoja1!$P$40:$P$46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E341-4820-B248-7FECEDF1737E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φMn,φPn</c:v>
                </c:tx>
                <c:spPr>
                  <a:ln w="19050" cap="rnd">
                    <a:solidFill>
                      <a:schemeClr val="accent2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75000"/>
                      </a:schemeClr>
                    </a:solidFill>
                    <a:ln w="9525">
                      <a:solidFill>
                        <a:schemeClr val="accent2">
                          <a:lumMod val="75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Hoja1!$S$40:$S$46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Hoja1!$R$40:$R$46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E341-4820-B248-7FECEDF1737E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"/>
                    <c:pt idx="0">
                      <c:v>0.86199999999999999</c:v>
                    </c:pt>
                  </c:numLit>
                </c:xVal>
                <c:yVal>
                  <c:numLit>
                    <c:formatCode>General</c:formatCode>
                    <c:ptCount val="1"/>
                    <c:pt idx="0">
                      <c:v>5.92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341-4820-B248-7FECEDF1737E}"/>
                  </c:ext>
                </c:extLst>
              </c15:ser>
            </c15:filteredScatterSeries>
            <c15:filteredScatterSeries>
              <c15:ser>
                <c:idx val="3"/>
                <c:order val="3"/>
                <c:spPr>
                  <a:ln w="19050" cap="rnd">
                    <a:solidFill>
                      <a:schemeClr val="tx2">
                        <a:lumMod val="75000"/>
                        <a:lumOff val="2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Hoja1!$Q$47:$Q$53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Hoja1!$P$47:$P$53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E341-4820-B248-7FECEDF1737E}"/>
                  </c:ext>
                </c:extLst>
              </c15:ser>
            </c15:filteredScatterSeries>
            <c15:filteredScatterSeries>
              <c15:ser>
                <c:idx val="4"/>
                <c:order val="4"/>
                <c:spPr>
                  <a:ln w="19050" cap="rnd">
                    <a:solidFill>
                      <a:schemeClr val="accent2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75000"/>
                      </a:schemeClr>
                    </a:solidFill>
                    <a:ln w="9525">
                      <a:solidFill>
                        <a:schemeClr val="accent2">
                          <a:lumMod val="75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Hoja1!$S$47:$S$53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Hoja1!$R$47:$R$53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E341-4820-B248-7FECEDF1737E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Columna 1 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"/>
                    <c:pt idx="0">
                      <c:v>-154</c:v>
                    </c:pt>
                  </c:numLit>
                </c:xVal>
                <c:yVal>
                  <c:numLit>
                    <c:formatCode>General</c:formatCode>
                    <c:ptCount val="1"/>
                    <c:pt idx="0">
                      <c:v>251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07-E341-4820-B248-7FECEDF1737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Columna 2</c:v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numLit>
                    <c:formatCode>General</c:formatCode>
                    <c:ptCount val="1"/>
                    <c:pt idx="0">
                      <c:v>240</c:v>
                    </c:pt>
                  </c:numLit>
                </c:xVal>
                <c:yVal>
                  <c:numLit>
                    <c:formatCode>General</c:formatCode>
                    <c:ptCount val="1"/>
                    <c:pt idx="0">
                      <c:v>-274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08-E341-4820-B248-7FECEDF1737E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Compresion pura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Hoja1!$Q$40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Hoja1!$P$40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BF6-4F63-AD19-CAF70279FA39}"/>
                  </c:ext>
                </c:extLst>
              </c15:ser>
            </c15:filteredScatterSeries>
          </c:ext>
        </c:extLst>
      </c:scatterChart>
      <c:valAx>
        <c:axId val="56823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M (kN*m)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68238943"/>
        <c:crosses val="autoZero"/>
        <c:crossBetween val="midCat"/>
      </c:valAx>
      <c:valAx>
        <c:axId val="56823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Pn</a:t>
                </a:r>
                <a:r>
                  <a:rPr lang="es-CL" baseline="0"/>
                  <a:t> (kN)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6823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869910736875909"/>
          <c:y val="7.1082080055349578E-2"/>
          <c:w val="0.11083760218130141"/>
          <c:h val="5.33665148613420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249669</xdr:colOff>
      <xdr:row>57</xdr:row>
      <xdr:rowOff>89454</xdr:rowOff>
    </xdr:from>
    <xdr:to>
      <xdr:col>19</xdr:col>
      <xdr:colOff>65128</xdr:colOff>
      <xdr:row>78</xdr:row>
      <xdr:rowOff>162821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0570780-82DB-1F65-F662-E23F7F204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306710</xdr:colOff>
      <xdr:row>1</xdr:row>
      <xdr:rowOff>165651</xdr:rowOff>
    </xdr:from>
    <xdr:to>
      <xdr:col>9</xdr:col>
      <xdr:colOff>629478</xdr:colOff>
      <xdr:row>19</xdr:row>
      <xdr:rowOff>44448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B1EABCC-D801-4BA7-AC25-217AE5620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2362" y="353390"/>
          <a:ext cx="3503290" cy="32581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A4FC-3461-49FF-8CEA-4697C21BE53D}">
  <dimension ref="A3:W128"/>
  <sheetViews>
    <sheetView tabSelected="1" topLeftCell="A53" zoomScale="69" workbookViewId="0">
      <selection activeCell="F113" sqref="F113"/>
    </sheetView>
  </sheetViews>
  <sheetFormatPr baseColWidth="10" defaultRowHeight="14.4" x14ac:dyDescent="0.3"/>
  <cols>
    <col min="16" max="16" width="13" bestFit="1" customWidth="1"/>
    <col min="18" max="18" width="13" bestFit="1" customWidth="1"/>
    <col min="22" max="22" width="13" bestFit="1" customWidth="1"/>
  </cols>
  <sheetData>
    <row r="3" spans="1:14" x14ac:dyDescent="0.3">
      <c r="K3" t="s">
        <v>14</v>
      </c>
      <c r="L3">
        <v>650</v>
      </c>
    </row>
    <row r="4" spans="1:14" x14ac:dyDescent="0.3">
      <c r="A4" s="1" t="s">
        <v>0</v>
      </c>
      <c r="K4" t="s">
        <v>15</v>
      </c>
      <c r="L4">
        <v>50</v>
      </c>
      <c r="N4" t="s">
        <v>30</v>
      </c>
    </row>
    <row r="5" spans="1:14" x14ac:dyDescent="0.3">
      <c r="A5" s="1"/>
      <c r="K5" t="s">
        <v>16</v>
      </c>
      <c r="L5">
        <v>350</v>
      </c>
      <c r="N5" s="3" t="s">
        <v>33</v>
      </c>
    </row>
    <row r="6" spans="1:14" x14ac:dyDescent="0.3">
      <c r="A6" t="s">
        <v>1</v>
      </c>
      <c r="C6" s="2">
        <v>25</v>
      </c>
      <c r="D6" t="s">
        <v>53</v>
      </c>
      <c r="E6">
        <v>700</v>
      </c>
      <c r="K6" t="s">
        <v>17</v>
      </c>
      <c r="L6">
        <v>650</v>
      </c>
      <c r="N6" t="s">
        <v>32</v>
      </c>
    </row>
    <row r="7" spans="1:14" x14ac:dyDescent="0.3">
      <c r="A7" t="s">
        <v>2</v>
      </c>
      <c r="B7">
        <v>25</v>
      </c>
      <c r="D7" t="s">
        <v>54</v>
      </c>
      <c r="E7">
        <v>700</v>
      </c>
      <c r="N7" t="s">
        <v>37</v>
      </c>
    </row>
    <row r="8" spans="1:14" x14ac:dyDescent="0.3">
      <c r="A8" t="s">
        <v>3</v>
      </c>
      <c r="B8">
        <v>420</v>
      </c>
      <c r="N8" t="s">
        <v>41</v>
      </c>
    </row>
    <row r="9" spans="1:14" x14ac:dyDescent="0.3">
      <c r="N9" t="s">
        <v>42</v>
      </c>
    </row>
    <row r="10" spans="1:14" x14ac:dyDescent="0.3">
      <c r="A10" t="s">
        <v>4</v>
      </c>
      <c r="B10">
        <f>3*PI()*(25/2)^2</f>
        <v>1472.6215563702156</v>
      </c>
      <c r="N10" t="s">
        <v>43</v>
      </c>
    </row>
    <row r="11" spans="1:14" x14ac:dyDescent="0.3">
      <c r="A11" t="s">
        <v>5</v>
      </c>
      <c r="B11">
        <f>2*PI()*(25/2)^2</f>
        <v>981.74770424681037</v>
      </c>
      <c r="N11" t="s">
        <v>47</v>
      </c>
    </row>
    <row r="12" spans="1:14" x14ac:dyDescent="0.3">
      <c r="A12" t="s">
        <v>6</v>
      </c>
      <c r="B12">
        <f>3*PI()*(25/2)^2</f>
        <v>1472.6215563702156</v>
      </c>
      <c r="N12" t="s">
        <v>48</v>
      </c>
    </row>
    <row r="13" spans="1:14" x14ac:dyDescent="0.3">
      <c r="N13" t="s">
        <v>52</v>
      </c>
    </row>
    <row r="14" spans="1:14" x14ac:dyDescent="0.3">
      <c r="A14" t="s">
        <v>7</v>
      </c>
      <c r="B14">
        <f>B10+B11+B13+B12</f>
        <v>3926.9908169872415</v>
      </c>
    </row>
    <row r="16" spans="1:14" x14ac:dyDescent="0.3">
      <c r="A16" t="s">
        <v>8</v>
      </c>
      <c r="B16">
        <f>(E6*E7)/100</f>
        <v>4900</v>
      </c>
    </row>
    <row r="17" spans="1:18" x14ac:dyDescent="0.3">
      <c r="A17" t="s">
        <v>9</v>
      </c>
      <c r="B17">
        <f>E6*E7</f>
        <v>490000</v>
      </c>
    </row>
    <row r="19" spans="1:18" x14ac:dyDescent="0.3">
      <c r="A19" s="3" t="s">
        <v>34</v>
      </c>
      <c r="B19">
        <f>0.85</f>
        <v>0.85</v>
      </c>
      <c r="L19" s="1"/>
      <c r="N19" s="17"/>
      <c r="O19" s="17"/>
      <c r="P19" s="17"/>
      <c r="Q19" s="17"/>
      <c r="R19" s="17"/>
    </row>
    <row r="20" spans="1:18" x14ac:dyDescent="0.3">
      <c r="A20" s="3" t="s">
        <v>45</v>
      </c>
      <c r="B20">
        <v>200000</v>
      </c>
      <c r="N20" s="17"/>
      <c r="O20" s="17"/>
      <c r="P20" s="17"/>
      <c r="Q20" s="17"/>
      <c r="R20" s="17"/>
    </row>
    <row r="21" spans="1:18" x14ac:dyDescent="0.3">
      <c r="N21" s="17"/>
      <c r="O21" s="17"/>
      <c r="P21" s="17"/>
      <c r="Q21" s="17"/>
      <c r="R21" s="17"/>
    </row>
    <row r="22" spans="1:18" x14ac:dyDescent="0.3">
      <c r="B22" t="s">
        <v>10</v>
      </c>
      <c r="C22" t="s">
        <v>13</v>
      </c>
      <c r="D22" t="s">
        <v>11</v>
      </c>
      <c r="E22" t="s">
        <v>12</v>
      </c>
      <c r="N22" s="17"/>
      <c r="O22" s="17"/>
      <c r="P22" s="17"/>
      <c r="Q22" s="17"/>
      <c r="R22" s="17"/>
    </row>
    <row r="23" spans="1:18" x14ac:dyDescent="0.3">
      <c r="B23">
        <v>1</v>
      </c>
      <c r="C23">
        <f>C$6</f>
        <v>25</v>
      </c>
      <c r="D23">
        <v>3</v>
      </c>
      <c r="E23">
        <f>D23*PI()*(C23/2)^2</f>
        <v>1472.6215563702156</v>
      </c>
      <c r="N23" s="17"/>
      <c r="O23" s="17"/>
      <c r="P23" s="17"/>
      <c r="Q23" s="17"/>
      <c r="R23" s="17"/>
    </row>
    <row r="24" spans="1:18" x14ac:dyDescent="0.3">
      <c r="B24">
        <v>2</v>
      </c>
      <c r="C24">
        <f t="shared" ref="C24:C25" si="0">C$6</f>
        <v>25</v>
      </c>
      <c r="D24">
        <v>2</v>
      </c>
      <c r="E24">
        <f t="shared" ref="E24:E25" si="1">D24*PI()*(C24/2)^2</f>
        <v>981.74770424681037</v>
      </c>
      <c r="N24" s="17"/>
      <c r="O24" s="17"/>
      <c r="P24" s="17"/>
      <c r="Q24" s="17"/>
      <c r="R24" s="17"/>
    </row>
    <row r="25" spans="1:18" x14ac:dyDescent="0.3">
      <c r="B25">
        <v>3</v>
      </c>
      <c r="C25">
        <f t="shared" si="0"/>
        <v>25</v>
      </c>
      <c r="D25">
        <v>3</v>
      </c>
      <c r="E25">
        <f t="shared" si="1"/>
        <v>1472.6215563702156</v>
      </c>
      <c r="N25" s="17"/>
      <c r="O25" s="17"/>
      <c r="P25" s="17"/>
      <c r="Q25" s="17"/>
      <c r="R25" s="17"/>
    </row>
    <row r="26" spans="1:18" x14ac:dyDescent="0.3">
      <c r="N26" s="17"/>
      <c r="O26" s="17"/>
      <c r="P26" s="17"/>
      <c r="Q26" s="17"/>
      <c r="R26" s="17"/>
    </row>
    <row r="28" spans="1:18" x14ac:dyDescent="0.3">
      <c r="A28" s="1" t="s">
        <v>65</v>
      </c>
      <c r="L28" t="s">
        <v>75</v>
      </c>
    </row>
    <row r="29" spans="1:18" x14ac:dyDescent="0.3">
      <c r="B29" t="s">
        <v>18</v>
      </c>
      <c r="C29">
        <v>0.65</v>
      </c>
      <c r="E29" t="s">
        <v>24</v>
      </c>
      <c r="H29" t="s">
        <v>25</v>
      </c>
      <c r="K29" s="5" t="s">
        <v>10</v>
      </c>
      <c r="L29" s="4" t="s">
        <v>12</v>
      </c>
      <c r="M29" s="4" t="s">
        <v>58</v>
      </c>
      <c r="N29" s="4" t="s">
        <v>40</v>
      </c>
      <c r="O29" s="6" t="s">
        <v>73</v>
      </c>
    </row>
    <row r="30" spans="1:18" x14ac:dyDescent="0.3">
      <c r="B30" t="s">
        <v>19</v>
      </c>
      <c r="E30" t="s">
        <v>26</v>
      </c>
      <c r="F30">
        <f>C29*C33</f>
        <v>6228.7615459023045</v>
      </c>
      <c r="H30" t="s">
        <v>27</v>
      </c>
      <c r="I30">
        <f>0</f>
        <v>0</v>
      </c>
      <c r="K30" s="14">
        <v>1</v>
      </c>
      <c r="L30" s="13">
        <f>E23</f>
        <v>1472.6215563702156</v>
      </c>
      <c r="M30" s="13">
        <v>420</v>
      </c>
      <c r="N30" s="13">
        <f>(M30*L30)/1000</f>
        <v>618.50105367549054</v>
      </c>
      <c r="O30" s="15" t="s">
        <v>74</v>
      </c>
    </row>
    <row r="31" spans="1:18" x14ac:dyDescent="0.3">
      <c r="B31" t="s">
        <v>20</v>
      </c>
      <c r="C31">
        <f>(0.85*B7*(B17-B14)+B8*B14)/1000</f>
        <v>11978.387588273663</v>
      </c>
      <c r="K31" s="10">
        <v>2</v>
      </c>
      <c r="L31" s="12">
        <f>E24</f>
        <v>981.74770424681037</v>
      </c>
      <c r="M31" s="12">
        <v>420</v>
      </c>
      <c r="N31" s="12">
        <f t="shared" ref="N31:N32" si="2">(M31*L31)/1000</f>
        <v>412.33403578366034</v>
      </c>
      <c r="O31" s="11" t="s">
        <v>74</v>
      </c>
    </row>
    <row r="32" spans="1:18" x14ac:dyDescent="0.3">
      <c r="A32" t="s">
        <v>21</v>
      </c>
      <c r="B32" t="s">
        <v>22</v>
      </c>
      <c r="K32" s="8">
        <v>3</v>
      </c>
      <c r="L32" s="7">
        <f>E25</f>
        <v>1472.6215563702156</v>
      </c>
      <c r="M32" s="7">
        <v>420</v>
      </c>
      <c r="N32" s="7">
        <f t="shared" si="2"/>
        <v>618.50105367549054</v>
      </c>
      <c r="O32" s="9" t="s">
        <v>74</v>
      </c>
    </row>
    <row r="33" spans="1:23" x14ac:dyDescent="0.3">
      <c r="B33" t="s">
        <v>23</v>
      </c>
      <c r="C33">
        <f>C31*0.8</f>
        <v>9582.7100706189303</v>
      </c>
      <c r="K33" s="16"/>
      <c r="L33" s="16"/>
      <c r="M33" s="16"/>
      <c r="N33" s="16"/>
      <c r="O33" s="16"/>
    </row>
    <row r="36" spans="1:23" x14ac:dyDescent="0.3">
      <c r="A36" s="1"/>
    </row>
    <row r="38" spans="1:23" x14ac:dyDescent="0.3">
      <c r="A38" s="3"/>
      <c r="D38" s="16"/>
      <c r="E38" s="16"/>
      <c r="F38" s="16"/>
      <c r="G38" s="16"/>
      <c r="H38" s="16"/>
      <c r="I38" s="16"/>
    </row>
    <row r="39" spans="1:23" x14ac:dyDescent="0.3">
      <c r="D39" s="16"/>
      <c r="E39" s="16"/>
      <c r="F39" s="16"/>
      <c r="G39" s="16"/>
      <c r="H39" s="16"/>
      <c r="I39" s="16"/>
      <c r="M39" s="1"/>
      <c r="O39" s="17"/>
      <c r="P39" s="17"/>
      <c r="Q39" s="17"/>
      <c r="R39" s="17"/>
      <c r="S39" s="17"/>
      <c r="U39" s="18" t="s">
        <v>70</v>
      </c>
      <c r="V39" s="18" t="s">
        <v>60</v>
      </c>
      <c r="W39" s="18" t="s">
        <v>51</v>
      </c>
    </row>
    <row r="40" spans="1:23" x14ac:dyDescent="0.3">
      <c r="D40" s="16"/>
      <c r="E40" s="16"/>
      <c r="F40" s="16"/>
      <c r="G40" s="16"/>
      <c r="H40" s="16"/>
      <c r="I40" s="16"/>
      <c r="O40" s="17"/>
      <c r="P40" s="17"/>
      <c r="Q40" s="17"/>
      <c r="R40" s="17"/>
      <c r="S40" s="17"/>
      <c r="U40" s="18">
        <v>1</v>
      </c>
      <c r="V40" s="18">
        <f>C31</f>
        <v>11978.387588273663</v>
      </c>
      <c r="W40" s="18">
        <f>J50</f>
        <v>0</v>
      </c>
    </row>
    <row r="41" spans="1:23" x14ac:dyDescent="0.3">
      <c r="D41" s="16"/>
      <c r="E41" s="16"/>
      <c r="F41" s="16"/>
      <c r="G41" s="16"/>
      <c r="H41" s="16"/>
      <c r="I41" s="16"/>
      <c r="O41" s="17"/>
      <c r="P41" s="17"/>
      <c r="Q41" s="17"/>
      <c r="R41" s="17"/>
      <c r="S41" s="17"/>
      <c r="U41" s="18">
        <v>3</v>
      </c>
      <c r="V41" s="18">
        <f>B62</f>
        <v>5020.9301744656696</v>
      </c>
      <c r="W41" s="18">
        <f>B63</f>
        <v>1270.8131684920731</v>
      </c>
    </row>
    <row r="42" spans="1:23" x14ac:dyDescent="0.3">
      <c r="D42" s="16"/>
      <c r="E42" s="16"/>
      <c r="F42" s="16"/>
      <c r="G42" s="16"/>
      <c r="H42" s="16"/>
      <c r="I42" s="16"/>
      <c r="O42" s="17"/>
      <c r="P42" s="17"/>
      <c r="Q42" s="17"/>
      <c r="R42" s="17"/>
      <c r="S42" s="17"/>
      <c r="U42" s="18">
        <v>5</v>
      </c>
      <c r="V42" s="18">
        <f>B96</f>
        <v>2825.1492783123731</v>
      </c>
      <c r="W42" s="18">
        <f>B97</f>
        <v>1130.503519168185</v>
      </c>
    </row>
    <row r="43" spans="1:23" x14ac:dyDescent="0.3">
      <c r="O43" s="17"/>
      <c r="P43" s="17"/>
      <c r="Q43" s="17"/>
      <c r="R43" s="17"/>
      <c r="S43" s="17"/>
      <c r="U43" s="18">
        <v>6</v>
      </c>
      <c r="V43" s="18">
        <f>B113</f>
        <v>-3.4129455343645532E-5</v>
      </c>
      <c r="W43" s="18">
        <f>B114</f>
        <v>500.374310712436</v>
      </c>
    </row>
    <row r="44" spans="1:23" x14ac:dyDescent="0.3">
      <c r="O44" s="17"/>
      <c r="P44" s="17"/>
      <c r="Q44" s="17"/>
      <c r="R44" s="17"/>
      <c r="S44" s="17"/>
      <c r="U44" s="18">
        <v>7</v>
      </c>
      <c r="V44" s="18">
        <f>B121</f>
        <v>-1649.3361431346414</v>
      </c>
      <c r="W44" s="18">
        <f>0</f>
        <v>0</v>
      </c>
    </row>
    <row r="45" spans="1:23" x14ac:dyDescent="0.3">
      <c r="O45" s="17"/>
      <c r="P45" s="17"/>
      <c r="Q45" s="17"/>
      <c r="R45" s="17"/>
      <c r="S45" s="17"/>
    </row>
    <row r="46" spans="1:23" x14ac:dyDescent="0.3">
      <c r="O46" s="17"/>
      <c r="P46" s="17"/>
      <c r="Q46" s="17"/>
      <c r="R46" s="17"/>
      <c r="S46" s="17"/>
    </row>
    <row r="47" spans="1:23" x14ac:dyDescent="0.3">
      <c r="O47" s="17"/>
      <c r="P47" s="17"/>
      <c r="Q47" s="17"/>
      <c r="R47" s="17"/>
      <c r="S47" s="17"/>
    </row>
    <row r="48" spans="1:23" x14ac:dyDescent="0.3">
      <c r="O48" s="17"/>
      <c r="P48" s="17"/>
      <c r="Q48" s="17"/>
      <c r="R48" s="17"/>
      <c r="S48" s="17"/>
    </row>
    <row r="49" spans="1:19" x14ac:dyDescent="0.3">
      <c r="O49" s="17"/>
      <c r="P49" s="17"/>
      <c r="Q49" s="17"/>
      <c r="R49" s="17"/>
      <c r="S49" s="17"/>
    </row>
    <row r="50" spans="1:19" x14ac:dyDescent="0.3">
      <c r="A50" s="1" t="s">
        <v>78</v>
      </c>
      <c r="O50" s="17"/>
      <c r="P50" s="17"/>
      <c r="Q50" s="17"/>
      <c r="R50" s="17"/>
      <c r="S50" s="17"/>
    </row>
    <row r="51" spans="1:19" x14ac:dyDescent="0.3">
      <c r="O51" s="17"/>
      <c r="P51" s="17"/>
      <c r="Q51" s="17"/>
      <c r="R51" s="17"/>
      <c r="S51" s="17"/>
    </row>
    <row r="52" spans="1:19" x14ac:dyDescent="0.3">
      <c r="A52" t="s">
        <v>28</v>
      </c>
      <c r="B52">
        <v>3.0000000000000001E-3</v>
      </c>
      <c r="D52" s="4" t="s">
        <v>10</v>
      </c>
      <c r="E52" s="4" t="s">
        <v>44</v>
      </c>
      <c r="F52" s="4" t="s">
        <v>38</v>
      </c>
      <c r="G52" s="4" t="s">
        <v>39</v>
      </c>
      <c r="H52" s="4" t="s">
        <v>40</v>
      </c>
      <c r="I52" s="13" t="s">
        <v>73</v>
      </c>
      <c r="O52" s="17"/>
      <c r="P52" s="17"/>
      <c r="Q52" s="17"/>
      <c r="R52" s="17"/>
      <c r="S52" s="17"/>
    </row>
    <row r="53" spans="1:19" x14ac:dyDescent="0.3">
      <c r="A53" t="s">
        <v>29</v>
      </c>
      <c r="B53">
        <v>2E-3</v>
      </c>
      <c r="D53" s="4">
        <v>1</v>
      </c>
      <c r="E53" s="4">
        <f>L4</f>
        <v>50</v>
      </c>
      <c r="F53" s="4">
        <f>B$52*(1-E53/B$55)</f>
        <v>2.6153846153846153E-3</v>
      </c>
      <c r="G53" s="4">
        <f>SIGN(F53)*MIN(ABS(F53)*B$20,B$8)</f>
        <v>420</v>
      </c>
      <c r="H53" s="4">
        <f>(B10*G53)/1000</f>
        <v>618.50105367549054</v>
      </c>
      <c r="I53" s="4" t="s">
        <v>74</v>
      </c>
      <c r="O53" s="17"/>
      <c r="P53" s="17"/>
      <c r="Q53" s="17"/>
      <c r="R53" s="17"/>
      <c r="S53" s="17"/>
    </row>
    <row r="54" spans="1:19" x14ac:dyDescent="0.3">
      <c r="A54" t="s">
        <v>14</v>
      </c>
      <c r="B54">
        <f>L3</f>
        <v>650</v>
      </c>
      <c r="D54" s="4">
        <v>2</v>
      </c>
      <c r="E54" s="4">
        <f t="shared" ref="E54:E55" si="3">L5</f>
        <v>350</v>
      </c>
      <c r="F54" s="4">
        <f t="shared" ref="F54:F55" si="4">B$52*(1-E54/B$55)</f>
        <v>3.0769230769230759E-4</v>
      </c>
      <c r="G54" s="4">
        <f t="shared" ref="G54:G55" si="5">SIGN(F54)*MIN(ABS(F54)*B$20,B$8)</f>
        <v>61.538461538461519</v>
      </c>
      <c r="H54" s="4">
        <f t="shared" ref="H54" si="6">(B11*G54)/1000</f>
        <v>60.415243338265228</v>
      </c>
      <c r="I54" s="4" t="s">
        <v>74</v>
      </c>
    </row>
    <row r="55" spans="1:19" x14ac:dyDescent="0.3">
      <c r="A55" t="s">
        <v>35</v>
      </c>
      <c r="B55">
        <f>(B52*B54)/(B52+B53)</f>
        <v>390</v>
      </c>
      <c r="D55" s="4">
        <v>3</v>
      </c>
      <c r="E55" s="4">
        <f t="shared" si="3"/>
        <v>650</v>
      </c>
      <c r="F55" s="4">
        <f t="shared" si="4"/>
        <v>-2.0000000000000005E-3</v>
      </c>
      <c r="G55" s="4">
        <f t="shared" si="5"/>
        <v>-400.00000000000011</v>
      </c>
      <c r="H55" s="4">
        <f>(B12*G55)/1000</f>
        <v>-589.04862254808631</v>
      </c>
      <c r="I55" s="4" t="s">
        <v>76</v>
      </c>
    </row>
    <row r="56" spans="1:19" x14ac:dyDescent="0.3">
      <c r="A56" t="s">
        <v>31</v>
      </c>
      <c r="B56">
        <f>B19*B55</f>
        <v>331.5</v>
      </c>
      <c r="D56" s="16"/>
      <c r="E56" s="16"/>
      <c r="F56" s="16"/>
      <c r="G56" s="16"/>
      <c r="H56" s="16"/>
      <c r="I56" s="16"/>
    </row>
    <row r="57" spans="1:19" x14ac:dyDescent="0.3">
      <c r="A57" t="s">
        <v>36</v>
      </c>
      <c r="B57">
        <f>(0.85*B7*700*B56)/1000</f>
        <v>4931.0625</v>
      </c>
    </row>
    <row r="58" spans="1:19" x14ac:dyDescent="0.3">
      <c r="A58" t="s">
        <v>18</v>
      </c>
      <c r="B58">
        <v>0.65</v>
      </c>
    </row>
    <row r="59" spans="1:19" x14ac:dyDescent="0.3">
      <c r="A59" t="s">
        <v>55</v>
      </c>
      <c r="B59">
        <f>E6/2</f>
        <v>350</v>
      </c>
    </row>
    <row r="60" spans="1:19" x14ac:dyDescent="0.3">
      <c r="A60" t="s">
        <v>56</v>
      </c>
      <c r="B60">
        <f>B56/2</f>
        <v>165.75</v>
      </c>
    </row>
    <row r="62" spans="1:19" x14ac:dyDescent="0.3">
      <c r="A62" t="s">
        <v>49</v>
      </c>
      <c r="B62">
        <f>B57+H53+H54+H55</f>
        <v>5020.9301744656696</v>
      </c>
      <c r="D62" t="s">
        <v>50</v>
      </c>
      <c r="E62">
        <f>B58*B62</f>
        <v>3263.6046134026851</v>
      </c>
    </row>
    <row r="63" spans="1:19" x14ac:dyDescent="0.3">
      <c r="A63" t="s">
        <v>51</v>
      </c>
      <c r="B63">
        <f>(B57*(B59-B60)+H53*(B59-E53)+H54*(B59-E54)+H55*(B59-E55))/1000</f>
        <v>1270.8131684920731</v>
      </c>
      <c r="D63" t="s">
        <v>27</v>
      </c>
      <c r="E63">
        <f>B58*B63</f>
        <v>826.02855951984759</v>
      </c>
    </row>
    <row r="67" spans="1:9" x14ac:dyDescent="0.3">
      <c r="A67" s="1" t="s">
        <v>66</v>
      </c>
    </row>
    <row r="69" spans="1:9" x14ac:dyDescent="0.3">
      <c r="A69" t="s">
        <v>28</v>
      </c>
      <c r="B69">
        <v>3.0000000000000001E-3</v>
      </c>
      <c r="D69" s="4" t="s">
        <v>10</v>
      </c>
      <c r="E69" s="4" t="s">
        <v>44</v>
      </c>
      <c r="F69" s="4" t="s">
        <v>38</v>
      </c>
      <c r="G69" s="4" t="s">
        <v>39</v>
      </c>
      <c r="H69" s="4" t="s">
        <v>40</v>
      </c>
      <c r="I69" s="13" t="s">
        <v>73</v>
      </c>
    </row>
    <row r="70" spans="1:9" x14ac:dyDescent="0.3">
      <c r="A70" t="s">
        <v>29</v>
      </c>
      <c r="B70">
        <v>3.0000000000000001E-3</v>
      </c>
      <c r="D70" s="4">
        <v>1</v>
      </c>
      <c r="E70" s="4">
        <f>L4</f>
        <v>50</v>
      </c>
      <c r="F70" s="4">
        <f>B$69*(1-E70/B$72)</f>
        <v>2.5384615384615385E-3</v>
      </c>
      <c r="G70" s="4">
        <f>SIGN(F70)*MIN(ABS(F70)*B$20,B$8)</f>
        <v>420</v>
      </c>
      <c r="H70" s="4">
        <f>(E23*G70)/1000</f>
        <v>618.50105367549054</v>
      </c>
      <c r="I70" s="4" t="s">
        <v>74</v>
      </c>
    </row>
    <row r="71" spans="1:9" x14ac:dyDescent="0.3">
      <c r="A71" t="s">
        <v>14</v>
      </c>
      <c r="B71">
        <f>L3</f>
        <v>650</v>
      </c>
      <c r="D71" s="4">
        <v>2</v>
      </c>
      <c r="E71" s="4">
        <f t="shared" ref="E71:E72" si="7">L5</f>
        <v>350</v>
      </c>
      <c r="F71" s="4">
        <f t="shared" ref="F71:F72" si="8">B$69*(1-E71/B$72)</f>
        <v>-2.3076923076923063E-4</v>
      </c>
      <c r="G71" s="4">
        <f t="shared" ref="G71:G72" si="9">SIGN(F71)*MIN(ABS(F71)*B$20,B$8)</f>
        <v>-46.153846153846125</v>
      </c>
      <c r="H71" s="4">
        <f t="shared" ref="H71:H72" si="10">(E24*G71)/1000</f>
        <v>-45.31143250369891</v>
      </c>
      <c r="I71" s="4" t="s">
        <v>74</v>
      </c>
    </row>
    <row r="72" spans="1:9" x14ac:dyDescent="0.3">
      <c r="A72" t="s">
        <v>35</v>
      </c>
      <c r="B72">
        <f>(B69*B71)/(B69+B70)</f>
        <v>325</v>
      </c>
      <c r="D72" s="4">
        <v>3</v>
      </c>
      <c r="E72" s="4">
        <f t="shared" si="7"/>
        <v>650</v>
      </c>
      <c r="F72" s="4">
        <f t="shared" si="8"/>
        <v>-3.0000000000000001E-3</v>
      </c>
      <c r="G72" s="4">
        <f t="shared" si="9"/>
        <v>-420</v>
      </c>
      <c r="H72" s="4">
        <f t="shared" si="10"/>
        <v>-618.50105367549054</v>
      </c>
      <c r="I72" s="4" t="s">
        <v>76</v>
      </c>
    </row>
    <row r="73" spans="1:9" x14ac:dyDescent="0.3">
      <c r="A73" t="s">
        <v>31</v>
      </c>
      <c r="B73">
        <f>B19*B72</f>
        <v>276.25</v>
      </c>
      <c r="D73" s="16"/>
      <c r="E73" s="16"/>
      <c r="F73" s="16"/>
      <c r="G73" s="16"/>
      <c r="H73" s="16"/>
      <c r="I73" s="16"/>
    </row>
    <row r="74" spans="1:9" x14ac:dyDescent="0.3">
      <c r="A74" t="s">
        <v>36</v>
      </c>
      <c r="B74">
        <f>(0.85*B7*350*B73)/1000</f>
        <v>2054.609375</v>
      </c>
    </row>
    <row r="75" spans="1:9" x14ac:dyDescent="0.3">
      <c r="A75" t="s">
        <v>18</v>
      </c>
      <c r="B75">
        <f>0.65+ (0.9-0.65)*(0.003-0.002)/(0.005-0.002)</f>
        <v>0.73333333333333339</v>
      </c>
    </row>
    <row r="76" spans="1:9" x14ac:dyDescent="0.3">
      <c r="A76" t="s">
        <v>55</v>
      </c>
      <c r="B76">
        <f>350/2</f>
        <v>175</v>
      </c>
    </row>
    <row r="77" spans="1:9" x14ac:dyDescent="0.3">
      <c r="A77" t="s">
        <v>56</v>
      </c>
      <c r="B77">
        <f>B73/2</f>
        <v>138.125</v>
      </c>
    </row>
    <row r="79" spans="1:9" x14ac:dyDescent="0.3">
      <c r="A79" t="s">
        <v>49</v>
      </c>
      <c r="B79">
        <f>B74+H70+H71+H72+H73</f>
        <v>2009.2979424963012</v>
      </c>
      <c r="D79" t="s">
        <v>50</v>
      </c>
      <c r="E79">
        <f>B75*B79</f>
        <v>1473.4851578306209</v>
      </c>
    </row>
    <row r="80" spans="1:9" x14ac:dyDescent="0.3">
      <c r="A80" t="s">
        <v>51</v>
      </c>
      <c r="B80">
        <f>(B74*(B76-B77)+H70*(B76-E70)+H71*(B76-E71)+H72*(B76-E72)+H73*(B76-E73))/1000</f>
        <v>454.79385359656663</v>
      </c>
      <c r="D80" t="s">
        <v>27</v>
      </c>
      <c r="E80">
        <f>B75*B80</f>
        <v>333.51549263748223</v>
      </c>
    </row>
    <row r="84" spans="1:9" x14ac:dyDescent="0.3">
      <c r="A84" s="1" t="s">
        <v>67</v>
      </c>
    </row>
    <row r="86" spans="1:9" x14ac:dyDescent="0.3">
      <c r="A86" t="s">
        <v>28</v>
      </c>
      <c r="B86">
        <v>3.0000000000000001E-3</v>
      </c>
      <c r="D86" s="4" t="s">
        <v>10</v>
      </c>
      <c r="E86" s="4" t="s">
        <v>44</v>
      </c>
      <c r="F86" s="4" t="s">
        <v>38</v>
      </c>
      <c r="G86" s="4" t="s">
        <v>39</v>
      </c>
      <c r="H86" s="4" t="s">
        <v>40</v>
      </c>
      <c r="I86" s="13" t="s">
        <v>73</v>
      </c>
    </row>
    <row r="87" spans="1:9" x14ac:dyDescent="0.3">
      <c r="A87" t="s">
        <v>29</v>
      </c>
      <c r="B87">
        <v>5.0000000000000001E-3</v>
      </c>
      <c r="D87" s="4">
        <v>1</v>
      </c>
      <c r="E87" s="4">
        <f>L4</f>
        <v>50</v>
      </c>
      <c r="F87" s="4">
        <f>B$69*(1-E87/B$89)</f>
        <v>2.3846153846153848E-3</v>
      </c>
      <c r="G87" s="4">
        <f>SIGN(F87)*MIN(ABS(F87)*B$20,B$8)</f>
        <v>420</v>
      </c>
      <c r="H87" s="4">
        <f>(B10*G87)/1000</f>
        <v>618.50105367549054</v>
      </c>
      <c r="I87" s="4" t="s">
        <v>77</v>
      </c>
    </row>
    <row r="88" spans="1:9" x14ac:dyDescent="0.3">
      <c r="A88" t="s">
        <v>14</v>
      </c>
      <c r="B88">
        <f>L3</f>
        <v>650</v>
      </c>
      <c r="D88" s="13">
        <v>2</v>
      </c>
      <c r="E88" s="13">
        <f t="shared" ref="E88:E89" si="11">L5</f>
        <v>350</v>
      </c>
      <c r="F88" s="13">
        <f t="shared" ref="F88:F89" si="12">B$69*(1-E88/B$89)</f>
        <v>-1.3076923076923077E-3</v>
      </c>
      <c r="G88" s="13">
        <f t="shared" ref="G88:G89" si="13">SIGN(F88)*MIN(ABS(F88)*B$20,B$8)</f>
        <v>-261.53846153846155</v>
      </c>
      <c r="H88" s="13">
        <f t="shared" ref="H88:H89" si="14">(B11*G88)/1000</f>
        <v>-256.76478418762736</v>
      </c>
      <c r="I88" s="13" t="s">
        <v>76</v>
      </c>
    </row>
    <row r="89" spans="1:9" x14ac:dyDescent="0.3">
      <c r="A89" t="s">
        <v>35</v>
      </c>
      <c r="B89">
        <f>(B86*B88)/(B86+B87)</f>
        <v>243.75</v>
      </c>
      <c r="D89" s="4">
        <v>3</v>
      </c>
      <c r="E89" s="4">
        <f t="shared" si="11"/>
        <v>650</v>
      </c>
      <c r="F89" s="4">
        <f t="shared" si="12"/>
        <v>-4.9999999999999992E-3</v>
      </c>
      <c r="G89" s="4">
        <f t="shared" si="13"/>
        <v>-420</v>
      </c>
      <c r="H89" s="4">
        <f t="shared" si="14"/>
        <v>-618.50105367549054</v>
      </c>
      <c r="I89" s="4" t="s">
        <v>76</v>
      </c>
    </row>
    <row r="90" spans="1:9" x14ac:dyDescent="0.3">
      <c r="A90" t="s">
        <v>31</v>
      </c>
      <c r="B90">
        <f>B$19*B89</f>
        <v>207.1875</v>
      </c>
      <c r="D90" s="16"/>
      <c r="E90" s="16"/>
      <c r="F90" s="16"/>
      <c r="G90" s="16"/>
      <c r="H90" s="16"/>
      <c r="I90" s="16"/>
    </row>
    <row r="91" spans="1:9" x14ac:dyDescent="0.3">
      <c r="A91" t="s">
        <v>36</v>
      </c>
      <c r="B91">
        <f>(0.85*B$7*700*B90)/1000</f>
        <v>3081.9140625</v>
      </c>
    </row>
    <row r="92" spans="1:9" x14ac:dyDescent="0.3">
      <c r="A92" t="s">
        <v>18</v>
      </c>
      <c r="B92">
        <f>0.9</f>
        <v>0.9</v>
      </c>
    </row>
    <row r="93" spans="1:9" x14ac:dyDescent="0.3">
      <c r="A93" t="s">
        <v>55</v>
      </c>
      <c r="B93">
        <f>E6/2</f>
        <v>350</v>
      </c>
    </row>
    <row r="94" spans="1:9" x14ac:dyDescent="0.3">
      <c r="A94" t="s">
        <v>56</v>
      </c>
      <c r="B94">
        <f>B90/2</f>
        <v>103.59375</v>
      </c>
    </row>
    <row r="96" spans="1:9" x14ac:dyDescent="0.3">
      <c r="A96" t="s">
        <v>49</v>
      </c>
      <c r="B96">
        <f>B91+H87+H88+H89+H90</f>
        <v>2825.1492783123731</v>
      </c>
      <c r="D96" t="s">
        <v>50</v>
      </c>
      <c r="E96">
        <f>B92*B96</f>
        <v>2542.6343504811357</v>
      </c>
    </row>
    <row r="97" spans="1:15" x14ac:dyDescent="0.3">
      <c r="A97" t="s">
        <v>51</v>
      </c>
      <c r="B97">
        <f>(B91*(B93-B94)+H87*(B93-E87)+H88*(B93-E88)+H89*(B93-E89))/1000</f>
        <v>1130.503519168185</v>
      </c>
      <c r="D97" t="s">
        <v>27</v>
      </c>
      <c r="E97">
        <f>B92*B97</f>
        <v>1017.4531672513665</v>
      </c>
      <c r="J97" t="s">
        <v>59</v>
      </c>
    </row>
    <row r="101" spans="1:15" x14ac:dyDescent="0.3">
      <c r="A101" s="1" t="s">
        <v>68</v>
      </c>
      <c r="N101" t="s">
        <v>63</v>
      </c>
      <c r="O101" t="s">
        <v>64</v>
      </c>
    </row>
    <row r="102" spans="1:15" x14ac:dyDescent="0.3">
      <c r="L102" t="s">
        <v>61</v>
      </c>
      <c r="M102" t="s">
        <v>62</v>
      </c>
      <c r="N102">
        <v>70</v>
      </c>
    </row>
    <row r="103" spans="1:15" x14ac:dyDescent="0.3">
      <c r="A103" t="s">
        <v>28</v>
      </c>
      <c r="B103">
        <v>3.0000000000000001E-3</v>
      </c>
      <c r="D103" s="4" t="s">
        <v>10</v>
      </c>
      <c r="E103" s="4" t="s">
        <v>44</v>
      </c>
      <c r="F103" s="4" t="s">
        <v>38</v>
      </c>
      <c r="G103" s="4" t="s">
        <v>39</v>
      </c>
      <c r="H103" s="4" t="s">
        <v>40</v>
      </c>
      <c r="I103" s="13" t="s">
        <v>73</v>
      </c>
    </row>
    <row r="104" spans="1:15" x14ac:dyDescent="0.3">
      <c r="A104" t="s">
        <v>29</v>
      </c>
      <c r="B104" t="s">
        <v>57</v>
      </c>
      <c r="D104" s="4">
        <v>1</v>
      </c>
      <c r="E104" s="4">
        <f>L4</f>
        <v>50</v>
      </c>
      <c r="F104" s="4">
        <f>B69*(1-E104/B$106)</f>
        <v>1.4383144092538979E-3</v>
      </c>
      <c r="G104" s="4">
        <f>SIGN(F104)*MIN(ABS(F104)*B$20,B$8)</f>
        <v>287.66288185077957</v>
      </c>
      <c r="H104" s="4">
        <f>(E23*G104)/1000</f>
        <v>423.61856078103642</v>
      </c>
      <c r="I104" s="4" t="s">
        <v>77</v>
      </c>
      <c r="L104" t="s">
        <v>46</v>
      </c>
      <c r="M104">
        <f>B108+H104+H105+H106+H107</f>
        <v>-3.4129455343645532E-5</v>
      </c>
    </row>
    <row r="105" spans="1:15" x14ac:dyDescent="0.3">
      <c r="A105" t="s">
        <v>14</v>
      </c>
      <c r="B105">
        <f>L3</f>
        <v>650</v>
      </c>
      <c r="D105" s="4">
        <v>2</v>
      </c>
      <c r="E105" s="4">
        <f t="shared" ref="E105:E106" si="15">L5</f>
        <v>350</v>
      </c>
      <c r="F105" s="4">
        <f>B69*(1-E105/B$106)</f>
        <v>-7.9317991352227148E-3</v>
      </c>
      <c r="G105" s="4">
        <f t="shared" ref="G105:G107" si="16">SIGN(F105)*MIN(ABS(F105)*B$20,B$8)</f>
        <v>-420</v>
      </c>
      <c r="H105" s="4">
        <f t="shared" ref="H105:H107" si="17">(E24*G105)/1000</f>
        <v>-412.33403578366034</v>
      </c>
      <c r="I105" s="4" t="s">
        <v>76</v>
      </c>
    </row>
    <row r="106" spans="1:15" x14ac:dyDescent="0.3">
      <c r="A106" t="s">
        <v>35</v>
      </c>
      <c r="B106">
        <v>96.050063398700402</v>
      </c>
      <c r="D106" s="4">
        <v>3</v>
      </c>
      <c r="E106" s="4">
        <f t="shared" si="15"/>
        <v>650</v>
      </c>
      <c r="F106" s="4">
        <f>B69*(1-E106/B$106)</f>
        <v>-1.7301912679699327E-2</v>
      </c>
      <c r="G106" s="4">
        <f t="shared" si="16"/>
        <v>-420</v>
      </c>
      <c r="H106" s="4">
        <f t="shared" si="17"/>
        <v>-618.50105367549054</v>
      </c>
      <c r="I106" s="4" t="s">
        <v>76</v>
      </c>
    </row>
    <row r="107" spans="1:15" x14ac:dyDescent="0.3">
      <c r="A107" t="s">
        <v>31</v>
      </c>
      <c r="B107">
        <f>B$19*B106</f>
        <v>81.642553888895335</v>
      </c>
      <c r="D107" s="16"/>
      <c r="E107" s="16"/>
      <c r="F107" s="16"/>
      <c r="G107" s="16"/>
      <c r="H107" s="16"/>
      <c r="I107" s="16"/>
    </row>
    <row r="108" spans="1:15" x14ac:dyDescent="0.3">
      <c r="A108" t="s">
        <v>36</v>
      </c>
      <c r="B108">
        <f>(0.85*B$7*350*B107)/1000</f>
        <v>607.21649454865906</v>
      </c>
    </row>
    <row r="109" spans="1:15" x14ac:dyDescent="0.3">
      <c r="A109" t="s">
        <v>18</v>
      </c>
      <c r="B109">
        <f>0.9</f>
        <v>0.9</v>
      </c>
    </row>
    <row r="110" spans="1:15" x14ac:dyDescent="0.3">
      <c r="A110" t="s">
        <v>55</v>
      </c>
      <c r="B110">
        <f>350/2</f>
        <v>175</v>
      </c>
    </row>
    <row r="111" spans="1:15" x14ac:dyDescent="0.3">
      <c r="A111" t="s">
        <v>56</v>
      </c>
      <c r="B111">
        <f>B107/2</f>
        <v>40.821276944447668</v>
      </c>
    </row>
    <row r="113" spans="1:11" x14ac:dyDescent="0.3">
      <c r="A113" t="s">
        <v>49</v>
      </c>
      <c r="B113">
        <f>B108+H104+H105+H106+H107</f>
        <v>-3.4129455343645532E-5</v>
      </c>
      <c r="D113" t="s">
        <v>50</v>
      </c>
      <c r="E113">
        <f>B109*B113</f>
        <v>-3.0716509809280981E-5</v>
      </c>
    </row>
    <row r="114" spans="1:11" x14ac:dyDescent="0.3">
      <c r="A114" t="s">
        <v>51</v>
      </c>
      <c r="B114">
        <f>(B108*(B110-B111)+H104*(B110-E104)+H105*(B110-E105)+H106*(B110-E106)+H107*(B110-E107))/1000</f>
        <v>500.374310712436</v>
      </c>
      <c r="D114" t="s">
        <v>27</v>
      </c>
      <c r="E114">
        <f>B109*B114</f>
        <v>450.33687964119241</v>
      </c>
    </row>
    <row r="118" spans="1:11" x14ac:dyDescent="0.3">
      <c r="A118" s="1" t="s">
        <v>69</v>
      </c>
      <c r="G118" s="5" t="s">
        <v>10</v>
      </c>
      <c r="H118" s="4" t="s">
        <v>12</v>
      </c>
      <c r="I118" s="4" t="s">
        <v>58</v>
      </c>
      <c r="J118" s="4" t="s">
        <v>40</v>
      </c>
      <c r="K118" s="6" t="s">
        <v>73</v>
      </c>
    </row>
    <row r="119" spans="1:11" x14ac:dyDescent="0.3">
      <c r="A119" t="s">
        <v>39</v>
      </c>
      <c r="B119">
        <f>-420</f>
        <v>-420</v>
      </c>
      <c r="G119" s="10">
        <v>1</v>
      </c>
      <c r="H119" s="12">
        <f>E23</f>
        <v>1472.6215563702156</v>
      </c>
      <c r="I119" s="12">
        <f>-420</f>
        <v>-420</v>
      </c>
      <c r="J119" s="12">
        <f>(I119*H119)/1000</f>
        <v>-618.50105367549054</v>
      </c>
      <c r="K119" s="11" t="s">
        <v>74</v>
      </c>
    </row>
    <row r="120" spans="1:11" x14ac:dyDescent="0.3">
      <c r="A120" t="s">
        <v>71</v>
      </c>
      <c r="D120" t="s">
        <v>51</v>
      </c>
      <c r="E120">
        <v>0</v>
      </c>
      <c r="G120" s="10">
        <v>2</v>
      </c>
      <c r="H120" s="12">
        <f>E24</f>
        <v>981.74770424681037</v>
      </c>
      <c r="I120" s="12">
        <v>-420</v>
      </c>
      <c r="J120" s="12">
        <f t="shared" ref="J120:J122" si="18">(I120*H120)/1000</f>
        <v>-412.33403578366034</v>
      </c>
      <c r="K120" s="11" t="s">
        <v>74</v>
      </c>
    </row>
    <row r="121" spans="1:11" x14ac:dyDescent="0.3">
      <c r="A121" t="s">
        <v>60</v>
      </c>
      <c r="B121">
        <f>(B14*B119)/1000</f>
        <v>-1649.3361431346414</v>
      </c>
      <c r="D121" t="s">
        <v>27</v>
      </c>
      <c r="E121">
        <v>0</v>
      </c>
      <c r="G121" s="10">
        <v>3</v>
      </c>
      <c r="H121" s="12">
        <f>E25</f>
        <v>1472.6215563702156</v>
      </c>
      <c r="I121" s="12">
        <v>-420</v>
      </c>
      <c r="J121" s="12">
        <f t="shared" si="18"/>
        <v>-618.50105367549054</v>
      </c>
      <c r="K121" s="11" t="s">
        <v>74</v>
      </c>
    </row>
    <row r="122" spans="1:11" x14ac:dyDescent="0.3">
      <c r="A122" t="s">
        <v>18</v>
      </c>
      <c r="B122">
        <v>0.9</v>
      </c>
      <c r="G122" s="19"/>
      <c r="H122" s="19"/>
      <c r="I122" s="19"/>
      <c r="J122" s="19"/>
      <c r="K122" s="19"/>
    </row>
    <row r="123" spans="1:11" x14ac:dyDescent="0.3">
      <c r="A123" t="s">
        <v>50</v>
      </c>
      <c r="B123">
        <f>B122*B121</f>
        <v>-1484.4025288211772</v>
      </c>
    </row>
    <row r="128" spans="1:11" x14ac:dyDescent="0.3">
      <c r="J128" t="s">
        <v>72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D136A36248EE49A0E1194E5F587606" ma:contentTypeVersion="11" ma:contentTypeDescription="Crear nuevo documento." ma:contentTypeScope="" ma:versionID="8653c2c2904c40b495c1066d637acb25">
  <xsd:schema xmlns:xsd="http://www.w3.org/2001/XMLSchema" xmlns:xs="http://www.w3.org/2001/XMLSchema" xmlns:p="http://schemas.microsoft.com/office/2006/metadata/properties" xmlns:ns3="aa83931a-378b-4b4b-a195-8d515b420864" xmlns:ns4="4ae8c6fd-95de-403f-ae42-36f1aafb0199" targetNamespace="http://schemas.microsoft.com/office/2006/metadata/properties" ma:root="true" ma:fieldsID="01374c1552f6c1c420ffa696ee9167a1" ns3:_="" ns4:_="">
    <xsd:import namespace="aa83931a-378b-4b4b-a195-8d515b420864"/>
    <xsd:import namespace="4ae8c6fd-95de-403f-ae42-36f1aafb019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3931a-378b-4b4b-a195-8d515b4208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e8c6fd-95de-403f-ae42-36f1aafb019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83931a-378b-4b4b-a195-8d515b42086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16C061-F4FA-4893-A8DD-6D095A77E2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83931a-378b-4b4b-a195-8d515b420864"/>
    <ds:schemaRef ds:uri="4ae8c6fd-95de-403f-ae42-36f1aafb01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92644D-546A-4BBF-A1AE-2F0E758ADCCD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aa83931a-378b-4b4b-a195-8d515b420864"/>
    <ds:schemaRef ds:uri="http://purl.org/dc/terms/"/>
    <ds:schemaRef ds:uri="4ae8c6fd-95de-403f-ae42-36f1aafb0199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815DF46-96F0-4B40-BBF5-16A0EBC852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 EGUIGUREN LETELIER</dc:creator>
  <cp:lastModifiedBy>Santiago Eguiguren</cp:lastModifiedBy>
  <dcterms:created xsi:type="dcterms:W3CDTF">2026-06-24T20:48:41Z</dcterms:created>
  <dcterms:modified xsi:type="dcterms:W3CDTF">2026-09-09T17:42:02Z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0x0101005CD136A36248EE49A0E1194E5F587606</vt:lpwstr>
  </property>
</Properties>
</file>